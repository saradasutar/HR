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f5aceef43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Replacement" sheetId="1" r:id="R056d3b3a965a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173C4C"/>
      <x:name val="Carlito"/>
    </x:font>
    <x:font>
      <x:b/>
      <x:sz val="10"/>
      <x:color rgb="FF073E5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75985"/>
      </x:patternFill>
    </x:fill>
  </x:fills>
  <x:borders count="13">
    <x:border/>
    <x:border>
      <x:left style="medium">
        <x:color rgb="FF0F4C5C"/>
      </x:left>
      <x:top style="medium">
        <x:color rgb="FF0F4C5C"/>
      </x:top>
      <x:bottom style="medium">
        <x:color rgb="FF0F4C5C"/>
      </x:bottom>
    </x:border>
    <x:border>
      <x:top style="medium">
        <x:color rgb="FF0F4C5C"/>
      </x:top>
      <x:bottom style="medium">
        <x:color rgb="FF0F4C5C"/>
      </x:bottom>
    </x:border>
    <x:border>
      <x:right style="medium">
        <x:color rgb="FF0F4C5C"/>
      </x:right>
      <x:top style="medium">
        <x:color rgb="FF0F4C5C"/>
      </x:top>
      <x:bottom style="medium">
        <x:color rgb="FF0F4C5C"/>
      </x:bottom>
    </x:border>
    <x:border>
      <x:right style="thin">
        <x:color rgb="FFD7E8EA"/>
      </x:right>
      <x:bottom style="thin">
        <x:color rgb="FFD7E8EA"/>
      </x:bottom>
    </x:border>
    <x:border>
      <x:left style="thin">
        <x:color rgb="FFD7E8EA"/>
      </x:left>
      <x:right style="thin">
        <x:color rgb="FFD7E8EA"/>
      </x:right>
      <x:bottom style="thin">
        <x:color rgb="FFD7E8EA"/>
      </x:bottom>
    </x:border>
    <x:border>
      <x:left style="thin">
        <x:color rgb="FFD7E8EA"/>
      </x:left>
      <x:bottom style="thin">
        <x:color rgb="FFD7E8EA"/>
      </x:bottom>
    </x:border>
    <x:border>
      <x:right style="thin">
        <x:color rgb="FFD7E8EA"/>
      </x:right>
      <x:top style="thin">
        <x:color rgb="FFD7E8EA"/>
      </x:top>
      <x:bottom style="thin">
        <x:color rgb="FFD7E8EA"/>
      </x:bottom>
    </x:border>
    <x:border>
      <x:left style="thin">
        <x:color rgb="FFD7E8EA"/>
      </x:left>
      <x:right style="thin">
        <x:color rgb="FFD7E8EA"/>
      </x:right>
      <x:top style="thin">
        <x:color rgb="FFD7E8EA"/>
      </x:top>
      <x:bottom style="thin">
        <x:color rgb="FFD7E8EA"/>
      </x:bottom>
    </x:border>
    <x:border>
      <x:left style="thin">
        <x:color rgb="FFD7E8EA"/>
      </x:left>
      <x:top style="thin">
        <x:color rgb="FFD7E8EA"/>
      </x:top>
      <x:bottom style="thin">
        <x:color rgb="FFD7E8EA"/>
      </x:bottom>
    </x:border>
    <x:border>
      <x:right style="thin">
        <x:color rgb="FFD7E8EA"/>
      </x:right>
      <x:top style="thin">
        <x:color rgb="FFD7E8EA"/>
      </x:top>
    </x:border>
    <x:border>
      <x:left style="thin">
        <x:color rgb="FFD7E8EA"/>
      </x:left>
      <x:right style="thin">
        <x:color rgb="FFD7E8EA"/>
      </x:right>
      <x:top style="thin">
        <x:color rgb="FFD7E8EA"/>
      </x:top>
    </x:border>
    <x:border>
      <x:left style="thin">
        <x:color rgb="FFD7E8EA"/>
      </x:left>
      <x:top style="thin">
        <x:color rgb="FFD7E8EA"/>
      </x:top>
    </x:border>
  </x:borders>
  <x:cellStyleXfs count="1">
    <x:xf numFmtId="0" fontId="0" fillId="0" borderId="0"/>
  </x:cellStyleXfs>
  <x:cellXfs count="57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20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20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20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087251"/>
      </x:font>
      <x:fill>
        <x:patternFill patternType="solid">
          <x:bgColor rgb="FFDFF8ED"/>
        </x:patternFill>
      </x:fill>
    </x:dxf>
    <x:dxf>
      <x:font>
        <x:b/>
        <x:color rgb="FF9F2F38"/>
      </x:font>
      <x:fill>
        <x:patternFill patternType="solid">
          <x:bgColor rgb="FFFFF0F1"/>
        </x:patternFill>
      </x:fill>
    </x:dxf>
    <x:dxf>
      <x:font>
        <x:b/>
        <x:color rgb="FF075F68"/>
      </x:font>
      <x:fill>
        <x:patternFill patternType="solid">
          <x:bgColor rgb="FFDFF7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43217dff54c37" /><Relationship Type="http://schemas.openxmlformats.org/officeDocument/2006/relationships/theme" Target="/xl/theme/theme1.xml" Id="Rabf76e43df044701" /><Relationship Type="http://schemas.openxmlformats.org/officeDocument/2006/relationships/sharedStrings" Target="/xl/sharedStrings.xml" Id="R3de7b0f3eb1948ac" /><Relationship Type="http://schemas.openxmlformats.org/officeDocument/2006/relationships/worksheet" Target="/xl/worksheets/sheet1.xml" Id="R056d3b3a965a4a6b" /></Relationships>
</file>

<file path=xl/tables/table1.xml><?xml version="1.0" encoding="utf-8"?>
<x:table xmlns:x="http://schemas.openxmlformats.org/spreadsheetml/2006/main" id="1" name="EmployeeReplacementTable" displayName="EmployeeReplacementTable" ref="A1:R38" headerRowCount="1" totalsRowCount="0" totalsRowShown="0">
  <x:autoFilter ref="A1:R38"/>
  <x:tableColumns count="18">
    <x:tableColumn id="1" name="Sl No."/>
    <x:tableColumn id="2" name="Employee Name"/>
    <x:tableColumn id="3" name="Employee Code"/>
    <x:tableColumn id="4" name="Designation"/>
    <x:tableColumn id="5" name="Grp"/>
    <x:tableColumn id="6" name="DoB"/>
    <x:tableColumn id="7" name="DoR"/>
    <x:tableColumn id="8" name="Cat"/>
    <x:tableColumn id="9" name="DoJ Govt"/>
    <x:tableColumn id="10" name="DoJ in ADG"/>
    <x:tableColumn id="11" name="Present/Permanent"/>
    <x:tableColumn id="12" name="Mob"/>
    <x:tableColumn id="13" name="Email"/>
    <x:tableColumn id="14" name="AGE"/>
    <x:tableColumn id="15" name="Strength Status"/>
    <x:tableColumn id="16" name="Relieving Date"/>
    <x:tableColumn id="17" name="Post Sensitivity"/>
    <x:tableColumn id="18" name="REMARK ADM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afeaed03ff4a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24.440000534057617" hidden="0" customWidth="1"/>
    <x:col min="3" max="3" width="24.440000534057617" hidden="0" customWidth="1"/>
    <x:col min="4" max="4" width="25" hidden="0" customWidth="1"/>
    <x:col min="5" max="5" width="9.4399995803833" hidden="0" customWidth="1"/>
    <x:col min="6" max="6" width="10.220000267028809" hidden="0" customWidth="1"/>
    <x:col min="7" max="7" width="10.220000267028809" hidden="0" customWidth="1"/>
    <x:col min="8" max="8" width="7.21999979019165" hidden="0" customWidth="1"/>
    <x:col min="9" max="9" width="11.109999656677246" hidden="0" customWidth="1"/>
    <x:col min="10" max="10" width="11.109999656677246" hidden="0" customWidth="1"/>
    <x:col min="11" max="11" width="38.88999938964844" hidden="0" customWidth="1"/>
    <x:col min="12" max="12" width="11.670000076293945" hidden="0" customWidth="1"/>
    <x:col min="13" max="13" width="25" hidden="0" customWidth="1"/>
    <x:col min="14" max="14" width="6.670000076293945" hidden="0" customWidth="1"/>
    <x:col min="15" max="15" width="13.329999923706055" hidden="0" customWidth="1"/>
    <x:col min="16" max="16" width="11.670000076293945" hidden="0" customWidth="1"/>
    <x:col min="17" max="17" width="13.890000343322754" hidden="0" customWidth="1"/>
    <x:col min="18" max="18" width="25.559999465942383" hidden="0" customWidth="1"/>
  </x:cols>
  <x:sheetData>
    <x:row r="1" ht="31.5" customHeight="1">
      <x:c r="A1" s="13" t="str">
        <x:v>Sl No.</x:v>
      </x:c>
      <x:c r="B1" s="14" t="str">
        <x:v>Employee Name</x:v>
      </x:c>
      <x:c r="C1" s="14" t="str">
        <x:v>Employee Code</x:v>
      </x:c>
      <x:c r="D1" s="14" t="str">
        <x:v>Designation</x:v>
      </x:c>
      <x:c r="E1" s="14" t="str">
        <x:v>Grp</x:v>
      </x:c>
      <x:c r="F1" s="14" t="str">
        <x:v>DoB</x:v>
      </x:c>
      <x:c r="G1" s="14" t="str">
        <x:v>DoR</x:v>
      </x:c>
      <x:c r="H1" s="14" t="str">
        <x:v>Cat</x:v>
      </x:c>
      <x:c r="I1" s="14" t="str">
        <x:v>DoJ Govt</x:v>
      </x:c>
      <x:c r="J1" s="14" t="str">
        <x:v>DoJ in ADG</x:v>
      </x:c>
      <x:c r="K1" s="14" t="str">
        <x:v>Present/Permanent</x:v>
      </x:c>
      <x:c r="L1" s="14" t="str">
        <x:v>Mob</x:v>
      </x:c>
      <x:c r="M1" s="14" t="str">
        <x:v>Email</x:v>
      </x:c>
      <x:c r="N1" s="14" t="str">
        <x:v>AGE</x:v>
      </x:c>
      <x:c r="O1" s="14" t="str">
        <x:v>Strength Status</x:v>
      </x:c>
      <x:c r="P1" s="14" t="str">
        <x:v>Relieving Date</x:v>
      </x:c>
      <x:c r="Q1" s="14" t="str">
        <x:v>Post Sensitivity</x:v>
      </x:c>
      <x:c r="R1" s="15" t="str">
        <x:v>REMARK ADMN</x:v>
      </x:c>
    </x:row>
    <x:row r="2" ht="25.5" customHeight="1">
      <x:c r="A2" s="42" t="n">
        <x:v>1</x:v>
      </x:c>
      <x:c r="B2" s="48" t="str">
        <x:v>AMIT KUMAR</x:v>
      </x:c>
      <x:c r="C2" s="31" t="str">
        <x:v>AKU01031978MTST022024</x:v>
      </x:c>
      <x:c r="D2" s="31" t="str">
        <x:v>Multi Tasking Staff-MTST</x:v>
      </x:c>
      <x:c r="E2" s="31" t="str">
        <x:v>Group C</x:v>
      </x:c>
      <x:c r="F2" s="32" t="n">
        <x:v>28550</x:v>
      </x:c>
      <x:c r="G2" s="32" t="n">
        <x:v>50464</x:v>
      </x:c>
      <x:c r="H2" s="31" t="str">
        <x:v>Gen</x:v>
      </x:c>
      <x:c r="I2" s="32" t="n">
        <x:v>45343</x:v>
      </x:c>
      <x:c r="J2" s="32" t="n">
        <x:v>46099</x:v>
      </x:c>
      <x:c r="K2" s="51" t="str">
        <x:v>53/1, 4th Cross City Regency Layout, Kithiganur, Bidarahalli, ,Banglore,Karanataka ,560049</x:v>
      </x:c>
      <x:c r="L2" s="31" t="str">
        <x:v>8073463133</x:v>
      </x:c>
      <x:c r="M2" s="31" t="str">
        <x:v>amitkumar774377@gmail.com</x:v>
      </x:c>
      <x:c r="N2" s="45" t="n">
        <x:f>IF(F2="","",YEAR(TODAY())-YEAR(F2)-IF(DATE(YEAR(TODAY()),MONTH(F2),DAY(F2))&gt;TODAY(),1,0))</x:f>
        <x:v>48</x:v>
      </x:c>
      <x:c r="O2" s="31" t="str">
        <x:v>Present</x:v>
      </x:c>
      <x:c r="P2" s="32"/>
      <x:c r="Q2" s="31" t="str">
        <x:v>Non-Sensitive</x:v>
      </x:c>
      <x:c r="R2" s="54" t="str"/>
    </x:row>
    <x:row r="3" ht="25.5" customHeight="1">
      <x:c r="A3" s="43" t="n">
        <x:v>2</x:v>
      </x:c>
      <x:c r="B3" s="49" t="str">
        <x:v>ANISHA M R</x:v>
      </x:c>
      <x:c r="C3" s="35" t="str">
        <x:v>AMR21051999MTST122023</x:v>
      </x:c>
      <x:c r="D3" s="35" t="str">
        <x:v>Multi Tasking Staff-MTST</x:v>
      </x:c>
      <x:c r="E3" s="35" t="str">
        <x:v>Group C</x:v>
      </x:c>
      <x:c r="F3" s="36" t="n">
        <x:v>36301</x:v>
      </x:c>
      <x:c r="G3" s="36" t="n">
        <x:v>58226</x:v>
      </x:c>
      <x:c r="H3" s="35" t="str">
        <x:v>Gen</x:v>
      </x:c>
      <x:c r="I3" s="36" t="n">
        <x:v>45287</x:v>
      </x:c>
      <x:c r="J3" s="36" t="n">
        <x:v>45287</x:v>
      </x:c>
      <x:c r="K3" s="52" t="str">
        <x:v>M6-Block 18, CPWD COMPLEX, Koramangala 2nd Block,BENGALURU,KARNATAKA,560034</x:v>
      </x:c>
      <x:c r="L3" s="35" t="str">
        <x:v>9037843910</x:v>
      </x:c>
      <x:c r="M3" s="35" t="str">
        <x:v>anishamr15@gmail.com</x:v>
      </x:c>
      <x:c r="N3" s="46" t="n">
        <x:f>IF(F3="","",YEAR(TODAY())-YEAR(F3)-IF(DATE(YEAR(TODAY()),MONTH(F3),DAY(F3))&gt;TODAY(),1,0))</x:f>
        <x:v>27</x:v>
      </x:c>
      <x:c r="O3" s="35" t="str">
        <x:v>Present</x:v>
      </x:c>
      <x:c r="P3" s="36"/>
      <x:c r="Q3" s="35" t="str">
        <x:v>Non-Sensitive</x:v>
      </x:c>
      <x:c r="R3" s="55" t="str"/>
    </x:row>
    <x:row r="4" ht="25.5" customHeight="1">
      <x:c r="A4" s="43" t="n">
        <x:v>3</x:v>
      </x:c>
      <x:c r="B4" s="49" t="str">
        <x:v>ANOOP N S</x:v>
      </x:c>
      <x:c r="C4" s="35" t="str">
        <x:v>ANS28071990ASOF092016</x:v>
      </x:c>
      <x:c r="D4" s="35" t="str">
        <x:v>Assistant Section Officer-ASOF</x:v>
      </x:c>
      <x:c r="E4" s="35" t="str">
        <x:v>Group B</x:v>
      </x:c>
      <x:c r="F4" s="36" t="n">
        <x:v>33082</x:v>
      </x:c>
      <x:c r="G4" s="36" t="n">
        <x:v>55000</x:v>
      </x:c>
      <x:c r="H4" s="35" t="str">
        <x:v>OBC</x:v>
      </x:c>
      <x:c r="I4" s="36" t="n">
        <x:v>42643</x:v>
      </x:c>
      <x:c r="J4" s="36" t="n">
        <x:v>45756</x:v>
      </x:c>
      <x:c r="K4" s="52" t="str">
        <x:v>Flat No. 2B, No.13 Olive Apartment,Jayanagar, 3rd Block,Karnataka,560011</x:v>
      </x:c>
      <x:c r="L4" s="35" t="str">
        <x:v>7012937804</x:v>
      </x:c>
      <x:c r="M4" s="35" t="str">
        <x:v>anoop.ns@gov.in</x:v>
      </x:c>
      <x:c r="N4" s="46" t="n">
        <x:f>IF(F4="","",YEAR(TODAY())-YEAR(F4)-IF(DATE(YEAR(TODAY()),MONTH(F4),DAY(F4))&gt;TODAY(),1,0))</x:f>
        <x:v>36</x:v>
      </x:c>
      <x:c r="O4" s="35" t="str">
        <x:v>Present</x:v>
      </x:c>
      <x:c r="P4" s="36"/>
      <x:c r="Q4" s="35" t="str">
        <x:v>Non-Sensitive</x:v>
      </x:c>
      <x:c r="R4" s="55" t="str"/>
    </x:row>
    <x:row r="5" ht="25.5" customHeight="1">
      <x:c r="A5" s="43" t="n">
        <x:v>4</x:v>
      </x:c>
      <x:c r="B5" s="49" t="str">
        <x:v>ANU B.K.</x:v>
      </x:c>
      <x:c r="C5" s="35" t="str">
        <x:v>ABK05101999MTST122023</x:v>
      </x:c>
      <x:c r="D5" s="35" t="str">
        <x:v>Multi Tasking Staff-MTST</x:v>
      </x:c>
      <x:c r="E5" s="35" t="str">
        <x:v>Group C</x:v>
      </x:c>
      <x:c r="F5" s="36" t="n">
        <x:v>36438</x:v>
      </x:c>
      <x:c r="G5" s="36" t="n">
        <x:v>58379</x:v>
      </x:c>
      <x:c r="H5" s="35" t="str">
        <x:v>OBC</x:v>
      </x:c>
      <x:c r="I5" s="36" t="n">
        <x:v>45282</x:v>
      </x:c>
      <x:c r="J5" s="36" t="n">
        <x:v>45282</x:v>
      </x:c>
      <x:c r="K5" s="52" t="str">
        <x:v>Qtr. No. 73, Block No. 6, Type I, HSR Layout,Bengaluru,Karanataka ,560102</x:v>
      </x:c>
      <x:c r="L5" s="35" t="str">
        <x:v>9562903541</x:v>
      </x:c>
      <x:c r="M5" s="35" t="str">
        <x:v>anu.k1999@gov.in</x:v>
      </x:c>
      <x:c r="N5" s="46" t="n">
        <x:f>IF(F5="","",YEAR(TODAY())-YEAR(F5)-IF(DATE(YEAR(TODAY()),MONTH(F5),DAY(F5))&gt;TODAY(),1,0))</x:f>
        <x:v>26</x:v>
      </x:c>
      <x:c r="O5" s="35" t="str">
        <x:v>Present</x:v>
      </x:c>
      <x:c r="P5" s="36"/>
      <x:c r="Q5" s="35" t="str">
        <x:v>Non-Sensitive</x:v>
      </x:c>
      <x:c r="R5" s="55" t="str"/>
    </x:row>
    <x:row r="6" ht="25.5" customHeight="1">
      <x:c r="A6" s="43" t="n">
        <x:v>5</x:v>
      </x:c>
      <x:c r="B6" s="49" t="str">
        <x:v>ARSHA GITTY GEORGE</x:v>
      </x:c>
      <x:c r="C6" s="35" t="str">
        <x:v>AGG21121994DARC012026</x:v>
      </x:c>
      <x:c r="D6" s="35" t="str">
        <x:v>Dy.Architect-DARC</x:v>
      </x:c>
      <x:c r="E6" s="35" t="str">
        <x:v>Group A</x:v>
      </x:c>
      <x:c r="F6" s="36" t="n">
        <x:v>34689</x:v>
      </x:c>
      <x:c r="G6" s="36" t="n">
        <x:v>56614</x:v>
      </x:c>
      <x:c r="H6" s="35" t="str">
        <x:v>Gen</x:v>
      </x:c>
      <x:c r="I6" s="36" t="n">
        <x:v>46023</x:v>
      </x:c>
      <x:c r="J6" s="36" t="n">
        <x:v>46174</x:v>
      </x:c>
      <x:c r="K6" s="52" t="str">
        <x:v>,BENGALURU,KARNATAKA,560099</x:v>
      </x:c>
      <x:c r="L6" s="35" t="str">
        <x:v>9605315220</x:v>
      </x:c>
      <x:c r="M6" s="35" t="str">
        <x:v>arshagitty@gmail.com</x:v>
      </x:c>
      <x:c r="N6" s="46" t="n">
        <x:f>IF(F6="","",YEAR(TODAY())-YEAR(F6)-IF(DATE(YEAR(TODAY()),MONTH(F6),DAY(F6))&gt;TODAY(),1,0))</x:f>
        <x:v>31</x:v>
      </x:c>
      <x:c r="O6" s="35" t="str">
        <x:v>Present</x:v>
      </x:c>
      <x:c r="P6" s="36"/>
      <x:c r="Q6" s="35" t="str">
        <x:v>Non-Sensitive</x:v>
      </x:c>
      <x:c r="R6" s="55" t="str"/>
    </x:row>
    <x:row r="7" ht="25.5" customHeight="1">
      <x:c r="A7" s="43" t="n">
        <x:v>6</x:v>
      </x:c>
      <x:c r="B7" s="49" t="str">
        <x:v>DARSAN AS</x:v>
      </x:c>
      <x:c r="C7" s="35" t="str">
        <x:v>DAS13071990JEEL062016</x:v>
      </x:c>
      <x:c r="D7" s="35" t="str">
        <x:v>Asst.Engineer(Elect.)-AEEL</x:v>
      </x:c>
      <x:c r="E7" s="35" t="str">
        <x:v>Group B</x:v>
      </x:c>
      <x:c r="F7" s="36" t="n">
        <x:v>33067</x:v>
      </x:c>
      <x:c r="G7" s="36" t="n">
        <x:v>55000</x:v>
      </x:c>
      <x:c r="H7" s="35" t="str">
        <x:v>OBC</x:v>
      </x:c>
      <x:c r="I7" s="36" t="n">
        <x:v>42536</x:v>
      </x:c>
      <x:c r="J7" s="36" t="n">
        <x:v>45259</x:v>
      </x:c>
      <x:c r="K7" s="52" t="str">
        <x:v>Arathil House,Azhinjilam, Malappuram,Kerala,673632</x:v>
      </x:c>
      <x:c r="L7" s="35" t="str">
        <x:v>8075685186</x:v>
      </x:c>
      <x:c r="M7" s="35" t="str">
        <x:v>as.darsan@gov.in</x:v>
      </x:c>
      <x:c r="N7" s="46" t="n">
        <x:f>IF(F7="","",YEAR(TODAY())-YEAR(F7)-IF(DATE(YEAR(TODAY()),MONTH(F7),DAY(F7))&gt;TODAY(),1,0))</x:f>
        <x:v>36</x:v>
      </x:c>
      <x:c r="O7" s="35" t="str">
        <x:v>Present</x:v>
      </x:c>
      <x:c r="P7" s="36"/>
      <x:c r="Q7" s="35" t="str">
        <x:v>Non-Sensitive</x:v>
      </x:c>
      <x:c r="R7" s="55" t="str"/>
    </x:row>
    <x:row r="8" ht="25.5" customHeight="1">
      <x:c r="A8" s="43" t="n">
        <x:v>7</x:v>
      </x:c>
      <x:c r="B8" s="49" t="str">
        <x:v>DILIP DEV DAYMA</x:v>
      </x:c>
      <x:c r="C8" s="35" t="str">
        <x:v>DDD05071995AIAD072025</x:v>
      </x:c>
      <x:c r="D8" s="35" t="str">
        <x:v>Assistant(AD)-AIAD</x:v>
      </x:c>
      <x:c r="E8" s="35" t="str">
        <x:v>Group B</x:v>
      </x:c>
      <x:c r="F8" s="36" t="n">
        <x:v>34885</x:v>
      </x:c>
      <x:c r="G8" s="36" t="n">
        <x:v>56826</x:v>
      </x:c>
      <x:c r="H8" s="35" t="str">
        <x:v>SC</x:v>
      </x:c>
      <x:c r="I8" s="36" t="n">
        <x:v>45853</x:v>
      </x:c>
      <x:c r="J8" s="36" t="n">
        <x:v>45854</x:v>
      </x:c>
      <x:c r="K8" s="52" t="str">
        <x:v>M-6, BLOCK-20,CPWD COMPLEX, DOMLUR,BENGALURU,Karnataka,560034</x:v>
      </x:c>
      <x:c r="L8" s="35" t="str">
        <x:v>8432381768</x:v>
      </x:c>
      <x:c r="M8" s="35" t="str">
        <x:v>dilipdayma11@gmail.com</x:v>
      </x:c>
      <x:c r="N8" s="46" t="n">
        <x:f>IF(F8="","",YEAR(TODAY())-YEAR(F8)-IF(DATE(YEAR(TODAY()),MONTH(F8),DAY(F8))&gt;TODAY(),1,0))</x:f>
        <x:v>31</x:v>
      </x:c>
      <x:c r="O8" s="35" t="str">
        <x:v>Present</x:v>
      </x:c>
      <x:c r="P8" s="36"/>
      <x:c r="Q8" s="35" t="str">
        <x:v>Non-Sensitive</x:v>
      </x:c>
      <x:c r="R8" s="55" t="str"/>
    </x:row>
    <x:row r="9" ht="25.5" customHeight="1">
      <x:c r="A9" s="43" t="n">
        <x:v>8</x:v>
      </x:c>
      <x:c r="B9" s="49" t="str">
        <x:v>GOLLAHALLY HANUMANTHAPPA JAYADEVA</x:v>
      </x:c>
      <x:c r="C9" s="35" t="str">
        <x:v>GHJ18111966JECI121994</x:v>
      </x:c>
      <x:c r="D9" s="35" t="str">
        <x:v>Exec.Engineer(Civil)-EECI</x:v>
      </x:c>
      <x:c r="E9" s="35" t="str">
        <x:v>Group B</x:v>
      </x:c>
      <x:c r="F9" s="36" t="n">
        <x:v>24429</x:v>
      </x:c>
      <x:c r="G9" s="36" t="n">
        <x:v>46356</x:v>
      </x:c>
      <x:c r="H9" s="35" t="str">
        <x:v>OBC</x:v>
      </x:c>
      <x:c r="I9" s="36" t="n">
        <x:v>34683</x:v>
      </x:c>
      <x:c r="J9" s="36" t="n">
        <x:v>46086</x:v>
      </x:c>
      <x:c r="K9" s="52" t="str">
        <x:v>No.117, Estella Gracious, Chikkabeguru Main Road, Near Kudlu Gate Signal,Bangalore,Karanataka ,560068</x:v>
      </x:c>
      <x:c r="L9" s="35" t="str">
        <x:v>9036131080</x:v>
      </x:c>
      <x:c r="M9" s="35" t="str">
        <x:v>aej2bcd2@yahoo.com</x:v>
      </x:c>
      <x:c r="N9" s="46" t="n">
        <x:f>IF(F9="","",YEAR(TODAY())-YEAR(F9)-IF(DATE(YEAR(TODAY()),MONTH(F9),DAY(F9))&gt;TODAY(),1,0))</x:f>
        <x:v>59</x:v>
      </x:c>
      <x:c r="O9" s="35" t="str">
        <x:v>Present</x:v>
      </x:c>
      <x:c r="P9" s="36"/>
      <x:c r="Q9" s="35" t="str">
        <x:v>Sensitive</x:v>
      </x:c>
      <x:c r="R9" s="55" t="str"/>
    </x:row>
    <x:row r="10" ht="25.5" customHeight="1">
      <x:c r="A10" s="43" t="n">
        <x:v>9</x:v>
      </x:c>
      <x:c r="B10" s="49" t="str">
        <x:v>JAYAKUMAR M N</x:v>
      </x:c>
      <x:c r="C10" s="35" t="str">
        <x:v>JMN28011973STGD041998</x:v>
      </x:c>
      <x:c r="D10" s="35" t="str">
        <x:v>Private Secretary-PSCE</x:v>
      </x:c>
      <x:c r="E10" s="35" t="str">
        <x:v>Group B</x:v>
      </x:c>
      <x:c r="F10" s="36" t="n">
        <x:v>26692</x:v>
      </x:c>
      <x:c r="G10" s="36" t="n">
        <x:v>48610</x:v>
      </x:c>
      <x:c r="H10" s="35" t="str">
        <x:v>OBC</x:v>
      </x:c>
      <x:c r="I10" s="36" t="n">
        <x:v>35891</x:v>
      </x:c>
      <x:c r="J10" s="36" t="n">
        <x:v>44137</x:v>
      </x:c>
      <x:c r="K10" s="52" t="str">
        <x:v>56/1, 1ST MAIN, OLD POST OFFICE ROAD, MADIWALA EXTENSION,BANGALORE,Karanataka ,560068</x:v>
      </x:c>
      <x:c r="L10" s="35" t="str">
        <x:v>9911985779</x:v>
      </x:c>
      <x:c r="M10" s="35" t="str">
        <x:v>jayakumar.mn@gov.in</x:v>
      </x:c>
      <x:c r="N10" s="46" t="n">
        <x:f>IF(F10="","",YEAR(TODAY())-YEAR(F10)-IF(DATE(YEAR(TODAY()),MONTH(F10),DAY(F10))&gt;TODAY(),1,0))</x:f>
        <x:v>53</x:v>
      </x:c>
      <x:c r="O10" s="35" t="str">
        <x:v>Present</x:v>
      </x:c>
      <x:c r="P10" s="36"/>
      <x:c r="Q10" s="35" t="str">
        <x:v>Non-Sensitive</x:v>
      </x:c>
      <x:c r="R10" s="55" t="str"/>
    </x:row>
    <x:row r="11" ht="25.5" customHeight="1">
      <x:c r="A11" s="43" t="n">
        <x:v>10</x:v>
      </x:c>
      <x:c r="B11" s="49" t="str">
        <x:v>K G SUJATHA</x:v>
      </x:c>
      <x:c r="C11" s="35" t="str">
        <x:v>KGS19121967LDCL011991</x:v>
      </x:c>
      <x:c r="D11" s="35" t="str">
        <x:v>Office Superintendent-OSTD</x:v>
      </x:c>
      <x:c r="E11" s="35" t="str">
        <x:v>Group B</x:v>
      </x:c>
      <x:c r="F11" s="36" t="n">
        <x:v>24825</x:v>
      </x:c>
      <x:c r="G11" s="36" t="n">
        <x:v>45657</x:v>
      </x:c>
      <x:c r="H11" s="35" t="str">
        <x:v>Gen</x:v>
      </x:c>
      <x:c r="I11" s="36" t="n">
        <x:v>33267</x:v>
      </x:c>
      <x:c r="J11" s="36" t="n">
        <x:v>46160</x:v>
      </x:c>
      <x:c r="K11" s="52" t="str">
        <x:v>B 201, 3rd Floor Oasis Vijaya Apts. 22nd Main 3rd Cross Arehalli,BANGALORE,Karanataka ,560061</x:v>
      </x:c>
      <x:c r="L11" s="35" t="str">
        <x:v>9448623411</x:v>
      </x:c>
      <x:c r="M11" s="35" t="str">
        <x:v>sujatha.kg@gov.in</x:v>
      </x:c>
      <x:c r="N11" s="46" t="n">
        <x:f>IF(F11="","",YEAR(TODAY())-YEAR(F11)-IF(DATE(YEAR(TODAY()),MONTH(F11),DAY(F11))&gt;TODAY(),1,0))</x:f>
        <x:v>58</x:v>
      </x:c>
      <x:c r="O11" s="35" t="str">
        <x:v>Present</x:v>
      </x:c>
      <x:c r="P11" s="36"/>
      <x:c r="Q11" s="35" t="str">
        <x:v>Non-Sensitive</x:v>
      </x:c>
      <x:c r="R11" s="55" t="str"/>
    </x:row>
    <x:row r="12" ht="25.5" customHeight="1">
      <x:c r="A12" s="43" t="n">
        <x:v>11</x:v>
      </x:c>
      <x:c r="B12" s="49" t="str">
        <x:v>KIRTI GUPTA</x:v>
      </x:c>
      <x:c r="C12" s="35" t="str">
        <x:v>KGU01071975DARC022010</x:v>
      </x:c>
      <x:c r="D12" s="35" t="str">
        <x:v>Architect-ARCH</x:v>
      </x:c>
      <x:c r="E12" s="35" t="str">
        <x:v>Group A</x:v>
      </x:c>
      <x:c r="F12" s="36" t="n">
        <x:v>27576</x:v>
      </x:c>
      <x:c r="G12" s="36" t="n">
        <x:v>49490</x:v>
      </x:c>
      <x:c r="H12" s="35" t="str">
        <x:v>Gen</x:v>
      </x:c>
      <x:c r="I12" s="36" t="n">
        <x:v>40212</x:v>
      </x:c>
      <x:c r="J12" s="36" t="n">
        <x:v>44931</x:v>
      </x:c>
      <x:c r="K12" s="52" t="str">
        <x:v>quarter number 384 block 32 CPWD koramangala quarters loramangala Bangalore ,BENGALURU,KARNATAKA,600020</x:v>
      </x:c>
      <x:c r="L12" s="35" t="str">
        <x:v>7829944502</x:v>
      </x:c>
      <x:c r="M12" s="35" t="str">
        <x:v>ar_kirtig@rediffmail.com</x:v>
      </x:c>
      <x:c r="N12" s="46" t="n">
        <x:f>IF(F12="","",YEAR(TODAY())-YEAR(F12)-IF(DATE(YEAR(TODAY()),MONTH(F12),DAY(F12))&gt;TODAY(),1,0))</x:f>
        <x:v>51</x:v>
      </x:c>
      <x:c r="O12" s="35" t="str">
        <x:v>Present</x:v>
      </x:c>
      <x:c r="P12" s="36"/>
      <x:c r="Q12" s="35" t="str">
        <x:v>Non-Sensitive</x:v>
      </x:c>
      <x:c r="R12" s="55" t="str"/>
    </x:row>
    <x:row r="13" ht="25.5" customHeight="1">
      <x:c r="A13" s="43" t="n">
        <x:v>12</x:v>
      </x:c>
      <x:c r="B13" s="49" t="str">
        <x:v>MAHESWARI JAYARAMAN</x:v>
      </x:c>
      <x:c r="C13" s="35" t="str">
        <x:v>MJA06021983DARC062015</x:v>
      </x:c>
      <x:c r="D13" s="35" t="str">
        <x:v>Architect-ARCH</x:v>
      </x:c>
      <x:c r="E13" s="35" t="str">
        <x:v>Group A</x:v>
      </x:c>
      <x:c r="F13" s="36" t="n">
        <x:v>30353</x:v>
      </x:c>
      <x:c r="G13" s="36" t="n">
        <x:v>52290</x:v>
      </x:c>
      <x:c r="H13" s="35" t="str">
        <x:v>OBC</x:v>
      </x:c>
      <x:c r="I13" s="36" t="n">
        <x:v>42156</x:v>
      </x:c>
      <x:c r="J13" s="36" t="n">
        <x:v>45397</x:v>
      </x:c>
      <x:c r="K13" s="52" t="str">
        <x:v>107, Eternity Serene, Ground floor, 12th E Main, Kaveri Nagar, Bommanahalli,Bengalore,Karanataka ,560068</x:v>
      </x:c>
      <x:c r="L13" s="35" t="str">
        <x:v>9972416484</x:v>
      </x:c>
      <x:c r="M13" s="35" t="str">
        <x:v>maheswariworks@gmail.com</x:v>
      </x:c>
      <x:c r="N13" s="46" t="n">
        <x:f>IF(F13="","",YEAR(TODAY())-YEAR(F13)-IF(DATE(YEAR(TODAY()),MONTH(F13),DAY(F13))&gt;TODAY(),1,0))</x:f>
        <x:v>43</x:v>
      </x:c>
      <x:c r="O13" s="35" t="str">
        <x:v>Present</x:v>
      </x:c>
      <x:c r="P13" s="36"/>
      <x:c r="Q13" s="35" t="str">
        <x:v>Non-Sensitive</x:v>
      </x:c>
      <x:c r="R13" s="55" t="str"/>
    </x:row>
    <x:row r="14" ht="25.5" customHeight="1">
      <x:c r="A14" s="43" t="n">
        <x:v>13</x:v>
      </x:c>
      <x:c r="B14" s="49" t="str">
        <x:v>MANISH SHUKLA</x:v>
      </x:c>
      <x:c r="C14" s="35" t="str">
        <x:v>MSH03041987AEEE052013</x:v>
      </x:c>
      <x:c r="D14" s="35" t="str">
        <x:v>Asst.Executive Enginner(E&amp;M)-AEEE</x:v>
      </x:c>
      <x:c r="E14" s="35" t="str">
        <x:v>Group A</x:v>
      </x:c>
      <x:c r="F14" s="36" t="n">
        <x:v>31870</x:v>
      </x:c>
      <x:c r="G14" s="36" t="n">
        <x:v>53812</x:v>
      </x:c>
      <x:c r="H14" s="35" t="str">
        <x:v>Gen</x:v>
      </x:c>
      <x:c r="I14" s="36" t="n">
        <x:v>41400</x:v>
      </x:c>
      <x:c r="J14" s="36" t="n">
        <x:v>43836</x:v>
      </x:c>
      <x:c r="K14" s="52" t="str">
        <x:v>B H Road, Near Hotel Shivaji,Theru veedhi, Gubbi Tk,Karanataka ,572223</x:v>
      </x:c>
      <x:c r="L14" s="35" t="str">
        <x:v>6300967973</x:v>
      </x:c>
      <x:c r="M14" s="35" t="str">
        <x:v>halaee-pesd3@cpwd.gov.in</x:v>
      </x:c>
      <x:c r="N14" s="46" t="n">
        <x:f>IF(F14="","",YEAR(TODAY())-YEAR(F14)-IF(DATE(YEAR(TODAY()),MONTH(F14),DAY(F14))&gt;TODAY(),1,0))</x:f>
        <x:v>39</x:v>
      </x:c>
      <x:c r="O14" s="35" t="str">
        <x:v>Present</x:v>
      </x:c>
      <x:c r="P14" s="36"/>
      <x:c r="Q14" s="35" t="str">
        <x:v>Non-Sensitive</x:v>
      </x:c>
      <x:c r="R14" s="55" t="str"/>
    </x:row>
    <x:row r="15" ht="25.5" customHeight="1">
      <x:c r="A15" s="43" t="n">
        <x:v>14</x:v>
      </x:c>
      <x:c r="B15" s="49" t="str">
        <x:v>MINI RAJ</x:v>
      </x:c>
      <x:c r="C15" s="35" t="str">
        <x:v>MRA30051982JHTO072013</x:v>
      </x:c>
      <x:c r="D15" s="35" t="str">
        <x:v>Senior Translation Officer(CSOL)-SHTO</x:v>
      </x:c>
      <x:c r="E15" s="35" t="str">
        <x:v>Group B</x:v>
      </x:c>
      <x:c r="F15" s="36" t="n">
        <x:v>30101</x:v>
      </x:c>
      <x:c r="G15" s="36" t="n">
        <x:v>52017</x:v>
      </x:c>
      <x:c r="H15" s="35" t="str">
        <x:v>SC</x:v>
      </x:c>
      <x:c r="I15" s="36" t="n">
        <x:v>41472</x:v>
      </x:c>
      <x:c r="J15" s="36" t="n">
        <x:v>44004</x:v>
      </x:c>
      <x:c r="K15" s="52" t="str">
        <x:v>Quarter No.621, Block No.44,CPWD Quarters, HSR Layout, Sector 1,Bengaluru,Karanataka ,560102</x:v>
      </x:c>
      <x:c r="L15" s="35" t="str">
        <x:v>9482514725</x:v>
      </x:c>
      <x:c r="M15" s="35" t="str">
        <x:v>mini.raj@gov.in</x:v>
      </x:c>
      <x:c r="N15" s="46" t="n">
        <x:f>IF(F15="","",YEAR(TODAY())-YEAR(F15)-IF(DATE(YEAR(TODAY()),MONTH(F15),DAY(F15))&gt;TODAY(),1,0))</x:f>
        <x:v>44</x:v>
      </x:c>
      <x:c r="O15" s="35" t="str">
        <x:v>Present</x:v>
      </x:c>
      <x:c r="P15" s="36"/>
      <x:c r="Q15" s="35" t="str">
        <x:v>Non-Sensitive</x:v>
      </x:c>
      <x:c r="R15" s="55" t="str"/>
    </x:row>
    <x:row r="16" ht="25.5" customHeight="1">
      <x:c r="A16" s="43" t="n">
        <x:v>15</x:v>
      </x:c>
      <x:c r="B16" s="49" t="str">
        <x:v>POLIMERA VINOD KUMAR REDDY</x:v>
      </x:c>
      <x:c r="C16" s="35" t="str">
        <x:v>PVR02051995ASOF032020</x:v>
      </x:c>
      <x:c r="D16" s="35" t="str">
        <x:v>Assistant Section Officer-ASOF</x:v>
      </x:c>
      <x:c r="E16" s="35" t="str">
        <x:v>Group B</x:v>
      </x:c>
      <x:c r="F16" s="36" t="n">
        <x:v>34821</x:v>
      </x:c>
      <x:c r="G16" s="36" t="n">
        <x:v>56765</x:v>
      </x:c>
      <x:c r="H16" s="35" t="str">
        <x:v>Gen</x:v>
      </x:c>
      <x:c r="I16" s="36" t="n">
        <x:v>43892</x:v>
      </x:c>
      <x:c r="J16" s="36" t="n">
        <x:v>45079</x:v>
      </x:c>
      <x:c r="K16" s="52" t="str">
        <x:v>289, Block 20, CPWD Quarters, HSR Layout,Bengaluru,Karanataka ,560102</x:v>
      </x:c>
      <x:c r="L16" s="35" t="str">
        <x:v>8876566381</x:v>
      </x:c>
      <x:c r="M16" s="35" t="str">
        <x:v>vinod.polimera12@gov.in</x:v>
      </x:c>
      <x:c r="N16" s="46" t="n">
        <x:f>IF(F16="","",YEAR(TODAY())-YEAR(F16)-IF(DATE(YEAR(TODAY()),MONTH(F16),DAY(F16))&gt;TODAY(),1,0))</x:f>
        <x:v>31</x:v>
      </x:c>
      <x:c r="O16" s="35" t="str">
        <x:v>Present</x:v>
      </x:c>
      <x:c r="P16" s="36"/>
      <x:c r="Q16" s="35" t="str">
        <x:v>Sensitive</x:v>
      </x:c>
      <x:c r="R16" s="55" t="str"/>
    </x:row>
    <x:row r="17" ht="25.5" customHeight="1">
      <x:c r="A17" s="43" t="n">
        <x:v>16</x:v>
      </x:c>
      <x:c r="B17" s="49" t="str">
        <x:v>PUNATI KONDAPA NAIDU</x:v>
      </x:c>
      <x:c r="C17" s="35" t="str">
        <x:v>PKN25081966AEEC061992</x:v>
      </x:c>
      <x:c r="D17" s="35" t="str">
        <x:v>ADG(Civil)-ADGC</x:v>
      </x:c>
      <x:c r="E17" s="35" t="str">
        <x:v>Group A</x:v>
      </x:c>
      <x:c r="F17" s="36" t="n">
        <x:v>24344</x:v>
      </x:c>
      <x:c r="G17" s="36" t="n">
        <x:v>46265</x:v>
      </x:c>
      <x:c r="H17" s="35" t="str">
        <x:v>Gen</x:v>
      </x:c>
      <x:c r="I17" s="36" t="n">
        <x:v>33770</x:v>
      </x:c>
      <x:c r="J17" s="36" t="n">
        <x:v>46036</x:v>
      </x:c>
      <x:c r="K17" s="52" t="str">
        <x:v>#401, Discrete Nilaya, 6th Main Road, New Thippasandra,Bengaluru,Karanataka ,560075</x:v>
      </x:c>
      <x:c r="L17" s="35" t="str">
        <x:v>9449008369</x:v>
      </x:c>
      <x:c r="M17" s="35" t="str">
        <x:v>pknaidu.1966@cpwd.gov.in</x:v>
      </x:c>
      <x:c r="N17" s="46" t="n">
        <x:f>IF(F17="","",YEAR(TODAY())-YEAR(F17)-IF(DATE(YEAR(TODAY()),MONTH(F17),DAY(F17))&gt;TODAY(),1,0))</x:f>
        <x:v>59</x:v>
      </x:c>
      <x:c r="O17" s="35" t="str">
        <x:v>Present</x:v>
      </x:c>
      <x:c r="P17" s="36"/>
      <x:c r="Q17" s="35" t="str">
        <x:v>Non-Sensitive</x:v>
      </x:c>
      <x:c r="R17" s="55" t="str"/>
    </x:row>
    <x:row r="18" ht="25.5" customHeight="1">
      <x:c r="A18" s="43" t="n">
        <x:v>17</x:v>
      </x:c>
      <x:c r="B18" s="49" t="str">
        <x:v>R. LAKSHMI</x:v>
      </x:c>
      <x:c r="C18" s="35" t="str">
        <x:v>RLA15041968WOAS041996</x:v>
      </x:c>
      <x:c r="D18" s="35" t="str">
        <x:v>Asst.Engineer(Civil)-AECI</x:v>
      </x:c>
      <x:c r="E18" s="35" t="str">
        <x:v>Group B</x:v>
      </x:c>
      <x:c r="F18" s="36" t="n">
        <x:v>24943</x:v>
      </x:c>
      <x:c r="G18" s="36" t="n">
        <x:v>46873</x:v>
      </x:c>
      <x:c r="H18" s="35" t="str">
        <x:v>OBC</x:v>
      </x:c>
      <x:c r="I18" s="36" t="n">
        <x:v>35163</x:v>
      </x:c>
      <x:c r="J18" s="36" t="n">
        <x:v>45799</x:v>
      </x:c>
      <x:c r="K18" s="52" t="str">
        <x:v>NO.2/25, MADURAI VASAL STREET, SEVEN WELLS,,CHENNAI,Tamil Nadu,600001</x:v>
      </x:c>
      <x:c r="L18" s="35" t="str">
        <x:v>9962368620</x:v>
      </x:c>
      <x:c r="M18" s="35" t="str">
        <x:v>rlakshmi.68@gov.in</x:v>
      </x:c>
      <x:c r="N18" s="46" t="n">
        <x:f>IF(F18="","",YEAR(TODAY())-YEAR(F18)-IF(DATE(YEAR(TODAY()),MONTH(F18),DAY(F18))&gt;TODAY(),1,0))</x:f>
        <x:v>58</x:v>
      </x:c>
      <x:c r="O18" s="35" t="str">
        <x:v>Present</x:v>
      </x:c>
      <x:c r="P18" s="36"/>
      <x:c r="Q18" s="35" t="str">
        <x:v>Non-Sensitive</x:v>
      </x:c>
      <x:c r="R18" s="55" t="str"/>
    </x:row>
    <x:row r="19" ht="25.5" customHeight="1">
      <x:c r="A19" s="43" t="n">
        <x:v>18</x:v>
      </x:c>
      <x:c r="B19" s="49" t="str">
        <x:v>RAJENDRA PRASAD KV</x:v>
      </x:c>
      <x:c r="C19" s="35" t="str">
        <x:v>RPK25071968LDCL091991</x:v>
      </x:c>
      <x:c r="D19" s="35" t="str">
        <x:v>Assistant Section Officer-ASOF</x:v>
      </x:c>
      <x:c r="E19" s="35" t="str">
        <x:v>Group B</x:v>
      </x:c>
      <x:c r="F19" s="36" t="n">
        <x:v>25044</x:v>
      </x:c>
      <x:c r="G19" s="36" t="n">
        <x:v>46965</x:v>
      </x:c>
      <x:c r="H19" s="35" t="str">
        <x:v>Gen</x:v>
      </x:c>
      <x:c r="I19" s="36" t="n">
        <x:v>33500</x:v>
      </x:c>
      <x:c r="J19" s="36" t="n">
        <x:v>43861</x:v>
      </x:c>
      <x:c r="K19" s="52" t="str">
        <x:v>No-490, Block-36, GPRA, CPWD Complex, Sector-1, HSR Layout,Bangalore,Karanataka ,560102</x:v>
      </x:c>
      <x:c r="L19" s="35" t="str">
        <x:v>9845332096</x:v>
      </x:c>
      <x:c r="M19" s="35" t="str">
        <x:v>kvp.rajendra@gov.in</x:v>
      </x:c>
      <x:c r="N19" s="46" t="n">
        <x:f>IF(F19="","",YEAR(TODAY())-YEAR(F19)-IF(DATE(YEAR(TODAY()),MONTH(F19),DAY(F19))&gt;TODAY(),1,0))</x:f>
        <x:v>58</x:v>
      </x:c>
      <x:c r="O19" s="35" t="str">
        <x:v>Present</x:v>
      </x:c>
      <x:c r="P19" s="36"/>
      <x:c r="Q19" s="35" t="str">
        <x:v>Non-Sensitive</x:v>
      </x:c>
      <x:c r="R19" s="55" t="str"/>
    </x:row>
    <x:row r="20" ht="25.5" customHeight="1">
      <x:c r="A20" s="43" t="n">
        <x:v>19</x:v>
      </x:c>
      <x:c r="B20" s="49" t="str">
        <x:v>ROHITH R</x:v>
      </x:c>
      <x:c r="C20" s="35" t="str">
        <x:v>ROR27091995AARC102024</x:v>
      </x:c>
      <x:c r="D20" s="35" t="str">
        <x:v>Asst.Architect-Ast.Ar.</x:v>
      </x:c>
      <x:c r="E20" s="35" t="str">
        <x:v>Group B</x:v>
      </x:c>
      <x:c r="F20" s="36" t="n">
        <x:v>34969</x:v>
      </x:c>
      <x:c r="G20" s="36" t="n">
        <x:v>56887</x:v>
      </x:c>
      <x:c r="H20" s="35" t="str">
        <x:v>OBC</x:v>
      </x:c>
      <x:c r="I20" s="36" t="n">
        <x:v>45589</x:v>
      </x:c>
      <x:c r="J20" s="36" t="n">
        <x:v>45597</x:v>
      </x:c>
      <x:c r="K20" s="52" t="str">
        <x:v>81/3 2nd Floor 1st Cross Behind Canara Bank Jayanagar 2nd Block,Bengaluru,Karanataka ,560011</x:v>
      </x:c>
      <x:c r="L20" s="35" t="str">
        <x:v>9632828872</x:v>
      </x:c>
      <x:c r="M20" s="35" t="str">
        <x:v>ar.rohith.ramesh@gmail.com</x:v>
      </x:c>
      <x:c r="N20" s="46" t="n">
        <x:f>IF(F20="","",YEAR(TODAY())-YEAR(F20)-IF(DATE(YEAR(TODAY()),MONTH(F20),DAY(F20))&gt;TODAY(),1,0))</x:f>
        <x:v>30</x:v>
      </x:c>
      <x:c r="O20" s="35" t="str">
        <x:v>Present</x:v>
      </x:c>
      <x:c r="P20" s="36"/>
      <x:c r="Q20" s="35" t="str">
        <x:v>Non-Sensitive</x:v>
      </x:c>
      <x:c r="R20" s="55" t="str"/>
    </x:row>
    <x:row r="21" ht="25.5" customHeight="1">
      <x:c r="A21" s="43" t="n">
        <x:v>20</x:v>
      </x:c>
      <x:c r="B21" s="49" t="str">
        <x:v>S SURESH KUMAR</x:v>
      </x:c>
      <x:c r="C21" s="35" t="str">
        <x:v>SUS14021967JEEL031989</x:v>
      </x:c>
      <x:c r="D21" s="35" t="str">
        <x:v>Exec.Engineer(E&amp;M)-EEEM</x:v>
      </x:c>
      <x:c r="E21" s="35" t="str">
        <x:v>Group B</x:v>
      </x:c>
      <x:c r="F21" s="36" t="n">
        <x:v>24517</x:v>
      </x:c>
      <x:c r="G21" s="36" t="n">
        <x:v>46446</x:v>
      </x:c>
      <x:c r="H21" s="35" t="str">
        <x:v>OBC</x:v>
      </x:c>
      <x:c r="I21" s="36" t="n">
        <x:v>32576</x:v>
      </x:c>
      <x:c r="J21" s="36" t="n">
        <x:v>46041</x:v>
      </x:c>
      <x:c r="K21" s="52" t="str">
        <x:v>1830C, Second Main, 6th A Cross, New Thippasandra, Bangalore,Bangalore,Karanataka ,560075</x:v>
      </x:c>
      <x:c r="L21" s="35" t="str">
        <x:v>9448346394</x:v>
      </x:c>
      <x:c r="M21" s="35" t="str">
        <x:v>suresh.ks67@gov.in</x:v>
      </x:c>
      <x:c r="N21" s="46" t="n">
        <x:f>IF(F21="","",YEAR(TODAY())-YEAR(F21)-IF(DATE(YEAR(TODAY()),MONTH(F21),DAY(F21))&gt;TODAY(),1,0))</x:f>
        <x:v>59</x:v>
      </x:c>
      <x:c r="O21" s="35" t="str">
        <x:v>Present</x:v>
      </x:c>
      <x:c r="P21" s="36"/>
      <x:c r="Q21" s="35" t="str">
        <x:v>Non-Sensitive</x:v>
      </x:c>
      <x:c r="R21" s="55" t="str"/>
    </x:row>
    <x:row r="22" ht="25.5" customHeight="1">
      <x:c r="A22" s="43" t="n">
        <x:v>21</x:v>
      </x:c>
      <x:c r="B22" s="49" t="str">
        <x:v>S.G PONVAITHANATHARR</x:v>
      </x:c>
      <x:c r="C22" s="35" t="str">
        <x:v>SPO24061970DMC3071995</x:v>
      </x:c>
      <x:c r="D22" s="35" t="str">
        <x:v>Asst.Engineer(Civil)-AECI</x:v>
      </x:c>
      <x:c r="E22" s="35" t="str">
        <x:v>Group B</x:v>
      </x:c>
      <x:c r="F22" s="36" t="n">
        <x:v>25743</x:v>
      </x:c>
      <x:c r="G22" s="36" t="n">
        <x:v>47664</x:v>
      </x:c>
      <x:c r="H22" s="35" t="str">
        <x:v>OBC</x:v>
      </x:c>
      <x:c r="I22" s="36" t="n">
        <x:v>34882</x:v>
      </x:c>
      <x:c r="J22" s="36" t="n">
        <x:v>45462</x:v>
      </x:c>
      <x:c r="K22" s="52" t="str">
        <x:v>PLOT NO 9, BABA NAGAR, PHASE I, IYENCHERRY, URAPAKKAM,CHENNAI,Tamil Nadu,603210</x:v>
      </x:c>
      <x:c r="L22" s="35" t="str">
        <x:v>9916993251</x:v>
      </x:c>
      <x:c r="M22" s="35" t="str">
        <x:v>sgponvaithanatharr@gmail.com</x:v>
      </x:c>
      <x:c r="N22" s="46" t="n">
        <x:f>IF(F22="","",YEAR(TODAY())-YEAR(F22)-IF(DATE(YEAR(TODAY()),MONTH(F22),DAY(F22))&gt;TODAY(),1,0))</x:f>
        <x:v>56</x:v>
      </x:c>
      <x:c r="O22" s="35" t="str">
        <x:v>Present</x:v>
      </x:c>
      <x:c r="P22" s="36"/>
      <x:c r="Q22" s="35" t="str">
        <x:v>Non-Sensitive</x:v>
      </x:c>
      <x:c r="R22" s="55" t="str"/>
    </x:row>
    <x:row r="23" ht="25.5" customHeight="1">
      <x:c r="A23" s="43" t="n">
        <x:v>22</x:v>
      </x:c>
      <x:c r="B23" s="49" t="str">
        <x:v>SARADA PRASANNA SUTAR</x:v>
      </x:c>
      <x:c r="C23" s="35" t="str">
        <x:v>SPS01041976ASOF122011</x:v>
      </x:c>
      <x:c r="D23" s="35" t="str">
        <x:v>Section Officer-SOFF</x:v>
      </x:c>
      <x:c r="E23" s="35" t="str">
        <x:v>Group B</x:v>
      </x:c>
      <x:c r="F23" s="36" t="n">
        <x:v>27851</x:v>
      </x:c>
      <x:c r="G23" s="36" t="n">
        <x:v>49765</x:v>
      </x:c>
      <x:c r="H23" s="35" t="str">
        <x:v>OBC</x:v>
      </x:c>
      <x:c r="I23" s="36" t="n">
        <x:v>40885</x:v>
      </x:c>
      <x:c r="J23" s="36" t="n">
        <x:v>45169</x:v>
      </x:c>
      <x:c r="K23" s="52" t="str">
        <x:v>Quarter No.578 Block 42, CPWD Quarter HSR Lay Out,Bengaluru,Karanataka ,560102</x:v>
      </x:c>
      <x:c r="L23" s="35" t="str">
        <x:v>7503483434</x:v>
      </x:c>
      <x:c r="M23" s="35" t="str">
        <x:v>s.sutar@gov.in</x:v>
      </x:c>
      <x:c r="N23" s="46" t="n">
        <x:f>IF(F23="","",YEAR(TODAY())-YEAR(F23)-IF(DATE(YEAR(TODAY()),MONTH(F23),DAY(F23))&gt;TODAY(),1,0))</x:f>
        <x:v>50</x:v>
      </x:c>
      <x:c r="O23" s="35" t="str">
        <x:v>Present</x:v>
      </x:c>
      <x:c r="P23" s="36"/>
      <x:c r="Q23" s="35" t="str">
        <x:v>Non-Sensitive</x:v>
      </x:c>
      <x:c r="R23" s="55" t="str"/>
    </x:row>
    <x:row r="24" ht="25.5" customHeight="1">
      <x:c r="A24" s="43" t="n">
        <x:v>23</x:v>
      </x:c>
      <x:c r="B24" s="49" t="str">
        <x:v>SEBASTIEN THOMAS</x:v>
      </x:c>
      <x:c r="C24" s="35" t="str">
        <x:v>STH30061984JECI052009</x:v>
      </x:c>
      <x:c r="D24" s="35" t="str">
        <x:v>Junior Engineer(Civil)-JECI</x:v>
      </x:c>
      <x:c r="E24" s="35" t="str">
        <x:v>Group B</x:v>
      </x:c>
      <x:c r="F24" s="36" t="n">
        <x:v>30863</x:v>
      </x:c>
      <x:c r="G24" s="36" t="n">
        <x:v>52778</x:v>
      </x:c>
      <x:c r="H24" s="35" t="str">
        <x:v>Gen</x:v>
      </x:c>
      <x:c r="I24" s="36" t="n">
        <x:v>39960</x:v>
      </x:c>
      <x:c r="J24" s="36" t="n">
        <x:v>45075</x:v>
      </x:c>
      <x:c r="K24" s="52" t="str">
        <x:v>Block 32/ 452qtrs, 1st sector, 13th cross, HSR layout,BANGALORE,KARNATAKA,560102</x:v>
      </x:c>
      <x:c r="L24" s="35" t="str">
        <x:v>9092851499</x:v>
      </x:c>
      <x:c r="M24" s="35" t="str">
        <x:v>thomasje2011@gmail.com</x:v>
      </x:c>
      <x:c r="N24" s="46" t="n">
        <x:f>IF(F24="","",YEAR(TODAY())-YEAR(F24)-IF(DATE(YEAR(TODAY()),MONTH(F24),DAY(F24))&gt;TODAY(),1,0))</x:f>
        <x:v>42</x:v>
      </x:c>
      <x:c r="O24" s="35" t="str">
        <x:v>Present</x:v>
      </x:c>
      <x:c r="P24" s="36"/>
      <x:c r="Q24" s="35" t="str">
        <x:v>Non-Sensitive</x:v>
      </x:c>
      <x:c r="R24" s="55" t="str"/>
    </x:row>
    <x:row r="25" ht="25.5" customHeight="1">
      <x:c r="A25" s="43" t="n">
        <x:v>24</x:v>
      </x:c>
      <x:c r="B25" s="49" t="str">
        <x:v>SHAIK KHADER BASHA</x:v>
      </x:c>
      <x:c r="C25" s="35" t="str">
        <x:v>SKB03071967AIAD081990</x:v>
      </x:c>
      <x:c r="D25" s="35" t="str">
        <x:v>Senior Architect-SARC</x:v>
      </x:c>
      <x:c r="E25" s="35" t="str">
        <x:v>Group A</x:v>
      </x:c>
      <x:c r="F25" s="36" t="n">
        <x:v>24656</x:v>
      </x:c>
      <x:c r="G25" s="36" t="n">
        <x:v>46599</x:v>
      </x:c>
      <x:c r="H25" s="35" t="str">
        <x:v>Gen</x:v>
      </x:c>
      <x:c r="I25" s="36" t="n">
        <x:v>33095</x:v>
      </x:c>
      <x:c r="J25" s="36" t="n">
        <x:v>46015</x:v>
      </x:c>
      <x:c r="K25" s="52" t="str">
        <x:v>FLAT NO. G 64, G BLOCK,SRI NIVAS HEIGHTS, ADARSH NAGAR, CHILKANAGAR ROAD,,HYDERABAD,TELANGANA,500039</x:v>
      </x:c>
      <x:c r="L25" s="35" t="str">
        <x:v>9666053461</x:v>
      </x:c>
      <x:c r="M25" s="35" t="str">
        <x:v>arskbasha20@gmail.com</x:v>
      </x:c>
      <x:c r="N25" s="46" t="n">
        <x:f>IF(F25="","",YEAR(TODAY())-YEAR(F25)-IF(DATE(YEAR(TODAY()),MONTH(F25),DAY(F25))&gt;TODAY(),1,0))</x:f>
        <x:v>59</x:v>
      </x:c>
      <x:c r="O25" s="35" t="str">
        <x:v>Present</x:v>
      </x:c>
      <x:c r="P25" s="36"/>
      <x:c r="Q25" s="35" t="str">
        <x:v>Non-Sensitive</x:v>
      </x:c>
      <x:c r="R25" s="55" t="str"/>
    </x:row>
    <x:row r="26" ht="25.5" customHeight="1">
      <x:c r="A26" s="43" t="n">
        <x:v>25</x:v>
      </x:c>
      <x:c r="B26" s="49" t="str">
        <x:v>SHEELA KUMARI</x:v>
      </x:c>
      <x:c r="C26" s="35" t="str">
        <x:v>SHE12041970LDCL031999</x:v>
      </x:c>
      <x:c r="D26" s="35" t="str">
        <x:v>Office Superintendent-OSTD</x:v>
      </x:c>
      <x:c r="E26" s="35" t="str">
        <x:v>Group B</x:v>
      </x:c>
      <x:c r="F26" s="36" t="n">
        <x:v>25670</x:v>
      </x:c>
      <x:c r="G26" s="36" t="n">
        <x:v>47603</x:v>
      </x:c>
      <x:c r="H26" s="35" t="str">
        <x:v>Gen</x:v>
      </x:c>
      <x:c r="I26" s="36" t="n">
        <x:v>36223</x:v>
      </x:c>
      <x:c r="J26" s="36" t="n">
        <x:v>44753</x:v>
      </x:c>
      <x:c r="K26" s="52" t="str">
        <x:v>QR.No. 209,TYPE III,Block-21, KORAMANGALA,BANGALORE,Karanataka ,560034</x:v>
      </x:c>
      <x:c r="L26" s="35" t="str">
        <x:v>8971192487</x:v>
      </x:c>
      <x:c r="M26" s="35" t="str">
        <x:v>sheela.kumari@gov.in</x:v>
      </x:c>
      <x:c r="N26" s="46" t="n">
        <x:f>IF(F26="","",YEAR(TODAY())-YEAR(F26)-IF(DATE(YEAR(TODAY()),MONTH(F26),DAY(F26))&gt;TODAY(),1,0))</x:f>
        <x:v>56</x:v>
      </x:c>
      <x:c r="O26" s="35" t="str">
        <x:v>Present</x:v>
      </x:c>
      <x:c r="P26" s="36"/>
      <x:c r="Q26" s="35" t="str">
        <x:v>Non-Sensitive</x:v>
      </x:c>
      <x:c r="R26" s="55" t="str"/>
    </x:row>
    <x:row r="27" ht="25.5" customHeight="1">
      <x:c r="A27" s="43" t="n">
        <x:v>26</x:v>
      </x:c>
      <x:c r="B27" s="49" t="str">
        <x:v>SHIENEY</x:v>
      </x:c>
      <x:c r="C27" s="35" t="str">
        <x:v>SHI02111991AEEC112016</x:v>
      </x:c>
      <x:c r="D27" s="35" t="str">
        <x:v>Exec.Engineer(Civil)-EECI</x:v>
      </x:c>
      <x:c r="E27" s="35" t="str">
        <x:v>Group A</x:v>
      </x:c>
      <x:c r="F27" s="36" t="n">
        <x:v>33544</x:v>
      </x:c>
      <x:c r="G27" s="36" t="n">
        <x:v>55487</x:v>
      </x:c>
      <x:c r="H27" s="35" t="str">
        <x:v>Gen</x:v>
      </x:c>
      <x:c r="I27" s="36" t="n">
        <x:v>42681</x:v>
      </x:c>
      <x:c r="J27" s="36" t="n">
        <x:v>45877</x:v>
      </x:c>
      <x:c r="K27" s="52" t="str">
        <x:v>M-89, second floor, South City-I,, Gurgaon,Haryana,122001</x:v>
      </x:c>
      <x:c r="L27" s="35" t="str">
        <x:v>9818586304</x:v>
      </x:c>
      <x:c r="M27" s="35" t="str">
        <x:v>shieneys@gmail.com</x:v>
      </x:c>
      <x:c r="N27" s="46" t="n">
        <x:f>IF(F27="","",YEAR(TODAY())-YEAR(F27)-IF(DATE(YEAR(TODAY()),MONTH(F27),DAY(F27))&gt;TODAY(),1,0))</x:f>
        <x:v>34</x:v>
      </x:c>
      <x:c r="O27" s="35" t="str">
        <x:v>Present</x:v>
      </x:c>
      <x:c r="P27" s="36"/>
      <x:c r="Q27" s="35" t="str">
        <x:v>Non-Sensitive</x:v>
      </x:c>
      <x:c r="R27" s="55" t="str"/>
    </x:row>
    <x:row r="28" ht="25.5" customHeight="1">
      <x:c r="A28" s="43" t="n">
        <x:v>27</x:v>
      </x:c>
      <x:c r="B28" s="49" t="str">
        <x:v>SOUMYA MURALEEDHARAN SULOCHANA</x:v>
      </x:c>
      <x:c r="C28" s="35" t="str">
        <x:v>SMS13071982JECI102009</x:v>
      </x:c>
      <x:c r="D28" s="35" t="str">
        <x:v>Asst.Engineer(Civil)-AECI</x:v>
      </x:c>
      <x:c r="E28" s="35" t="str">
        <x:v>Group B</x:v>
      </x:c>
      <x:c r="F28" s="36" t="n">
        <x:v>30145</x:v>
      </x:c>
      <x:c r="G28" s="36" t="n">
        <x:v>52078</x:v>
      </x:c>
      <x:c r="H28" s="35" t="str">
        <x:v>OBC</x:v>
      </x:c>
      <x:c r="I28" s="36" t="n">
        <x:v>40100</x:v>
      </x:c>
      <x:c r="J28" s="36" t="n">
        <x:v>45806</x:v>
      </x:c>
      <x:c r="K28" s="52" t="str">
        <x:v>Thrayambakam, SNRA-27-A-14, Nettayam Post,Trivandrum,Kerala,695013</x:v>
      </x:c>
      <x:c r="L28" s="35" t="str">
        <x:v>9633140707</x:v>
      </x:c>
      <x:c r="M28" s="35" t="str">
        <x:v>soumyamscpwd@gmail.com</x:v>
      </x:c>
      <x:c r="N28" s="46" t="n">
        <x:f>IF(F28="","",YEAR(TODAY())-YEAR(F28)-IF(DATE(YEAR(TODAY()),MONTH(F28),DAY(F28))&gt;TODAY(),1,0))</x:f>
        <x:v>44</x:v>
      </x:c>
      <x:c r="O28" s="35" t="str">
        <x:v>Present</x:v>
      </x:c>
      <x:c r="P28" s="36"/>
      <x:c r="Q28" s="35" t="str">
        <x:v>Non-Sensitive</x:v>
      </x:c>
      <x:c r="R28" s="55" t="str"/>
    </x:row>
    <x:row r="29" ht="25.5" customHeight="1">
      <x:c r="A29" s="43" t="n">
        <x:v>28</x:v>
      </x:c>
      <x:c r="B29" s="49" t="str">
        <x:v>SOURAV SAHA</x:v>
      </x:c>
      <x:c r="C29" s="35" t="str">
        <x:v>SSA25011994AIAD012026</x:v>
      </x:c>
      <x:c r="D29" s="35" t="str">
        <x:v>Assistant(AD)-AIAD</x:v>
      </x:c>
      <x:c r="E29" s="35" t="str">
        <x:v>Group B</x:v>
      </x:c>
      <x:c r="F29" s="36" t="n">
        <x:v>34359</x:v>
      </x:c>
      <x:c r="G29" s="36" t="n">
        <x:v>56280</x:v>
      </x:c>
      <x:c r="H29" s="35" t="str">
        <x:v>SC</x:v>
      </x:c>
      <x:c r="I29" s="36" t="n">
        <x:v>46041</x:v>
      </x:c>
      <x:c r="J29" s="36" t="n">
        <x:v>46069</x:v>
      </x:c>
      <x:c r="K29" s="52" t="str">
        <x:v>,,Select,600090</x:v>
      </x:c>
      <x:c r="L29" s="35" t="str">
        <x:v>7980983538</x:v>
      </x:c>
      <x:c r="M29" s="35" t="str">
        <x:v>saha85978@gmail.com</x:v>
      </x:c>
      <x:c r="N29" s="46" t="n">
        <x:f>IF(F29="","",YEAR(TODAY())-YEAR(F29)-IF(DATE(YEAR(TODAY()),MONTH(F29),DAY(F29))&gt;TODAY(),1,0))</x:f>
        <x:v>32</x:v>
      </x:c>
      <x:c r="O29" s="35" t="str">
        <x:v>Present</x:v>
      </x:c>
      <x:c r="P29" s="36"/>
      <x:c r="Q29" s="35" t="str">
        <x:v>Non-Sensitive</x:v>
      </x:c>
      <x:c r="R29" s="55" t="str"/>
    </x:row>
    <x:row r="30" ht="25.5" customHeight="1">
      <x:c r="A30" s="43" t="n">
        <x:v>29</x:v>
      </x:c>
      <x:c r="B30" s="49" t="str">
        <x:v>SREEDHAR CHINNALA</x:v>
      </x:c>
      <x:c r="C30" s="35" t="str">
        <x:v>SCH20061974AEEC072002</x:v>
      </x:c>
      <x:c r="D30" s="35" t="str">
        <x:v>Supdt.Engineer(Civil)-SECI</x:v>
      </x:c>
      <x:c r="E30" s="35" t="str">
        <x:v>Group A</x:v>
      </x:c>
      <x:c r="F30" s="36" t="n">
        <x:v>27200</x:v>
      </x:c>
      <x:c r="G30" s="36" t="n">
        <x:v>49125</x:v>
      </x:c>
      <x:c r="H30" s="35" t="str">
        <x:v>OBC</x:v>
      </x:c>
      <x:c r="I30" s="36" t="n">
        <x:v>37449</x:v>
      </x:c>
      <x:c r="J30" s="36" t="n">
        <x:v>45513</x:v>
      </x:c>
      <x:c r="K30" s="52" t="str">
        <x:v>521, Block 40, Type V Quarters, CPWD Complex,,BENGALURU,Karanataka ,530016</x:v>
      </x:c>
      <x:c r="L30" s="35" t="str">
        <x:v>9666034757</x:v>
      </x:c>
      <x:c r="M30" s="35" t="str">
        <x:v>chinnala.sreedhar@gmail.com</x:v>
      </x:c>
      <x:c r="N30" s="46" t="n">
        <x:f>IF(F30="","",YEAR(TODAY())-YEAR(F30)-IF(DATE(YEAR(TODAY()),MONTH(F30),DAY(F30))&gt;TODAY(),1,0))</x:f>
        <x:v>52</x:v>
      </x:c>
      <x:c r="O30" s="35" t="str">
        <x:v>Present</x:v>
      </x:c>
      <x:c r="P30" s="36"/>
      <x:c r="Q30" s="35" t="str">
        <x:v>Non-Sensitive</x:v>
      </x:c>
      <x:c r="R30" s="55" t="str"/>
    </x:row>
    <x:row r="31" ht="25.5" customHeight="1">
      <x:c r="A31" s="43" t="n">
        <x:v>30</x:v>
      </x:c>
      <x:c r="B31" s="49" t="str">
        <x:v>SRINU NENAVATH</x:v>
      </x:c>
      <x:c r="C31" s="35" t="str">
        <x:v>SNE15051996MTST082018</x:v>
      </x:c>
      <x:c r="D31" s="35" t="str">
        <x:v>Assistant Section Officer-ASOF</x:v>
      </x:c>
      <x:c r="E31" s="35" t="str">
        <x:v>Group B</x:v>
      </x:c>
      <x:c r="F31" s="36" t="n">
        <x:v>35200</x:v>
      </x:c>
      <x:c r="G31" s="36" t="n">
        <x:v>57131</x:v>
      </x:c>
      <x:c r="H31" s="35" t="str">
        <x:v>ST</x:v>
      </x:c>
      <x:c r="I31" s="36" t="n">
        <x:v>43314</x:v>
      </x:c>
      <x:c r="J31" s="36" t="n">
        <x:v>45782</x:v>
      </x:c>
      <x:c r="K31" s="52" t="str">
        <x:v>27, 12TH MAIN ROAD, SECTOR-6, HSR LAYOUT,BANGALURU,Karnataka,560102</x:v>
      </x:c>
      <x:c r="L31" s="35" t="str">
        <x:v>8920993142</x:v>
      </x:c>
      <x:c r="M31" s="35" t="str">
        <x:v>srinivasnaik.n@gov.in</x:v>
      </x:c>
      <x:c r="N31" s="46" t="n">
        <x:f>IF(F31="","",YEAR(TODAY())-YEAR(F31)-IF(DATE(YEAR(TODAY()),MONTH(F31),DAY(F31))&gt;TODAY(),1,0))</x:f>
        <x:v>30</x:v>
      </x:c>
      <x:c r="O31" s="35" t="str">
        <x:v>Present</x:v>
      </x:c>
      <x:c r="P31" s="36"/>
      <x:c r="Q31" s="35" t="str">
        <x:v>Non-Sensitive</x:v>
      </x:c>
      <x:c r="R31" s="55" t="str"/>
    </x:row>
    <x:row r="32" ht="25.5" customHeight="1">
      <x:c r="A32" s="43" t="n">
        <x:v>31</x:v>
      </x:c>
      <x:c r="B32" s="49" t="str">
        <x:v>SUNETRA BANIK</x:v>
      </x:c>
      <x:c r="C32" s="35" t="str">
        <x:v>SBA17091999AIAD012026</x:v>
      </x:c>
      <x:c r="D32" s="35" t="str">
        <x:v>Assistant(AD)-AIAD</x:v>
      </x:c>
      <x:c r="E32" s="35" t="str">
        <x:v>Group B</x:v>
      </x:c>
      <x:c r="F32" s="36" t="n">
        <x:v>36420</x:v>
      </x:c>
      <x:c r="G32" s="36" t="n">
        <x:v>58348</x:v>
      </x:c>
      <x:c r="H32" s="35" t="str">
        <x:v>Gen</x:v>
      </x:c>
      <x:c r="I32" s="36" t="n">
        <x:v>46041</x:v>
      </x:c>
      <x:c r="J32" s="36" t="n">
        <x:v>46069</x:v>
      </x:c>
      <x:c r="K32" s="52" t="str">
        <x:v>,,Select,600090</x:v>
      </x:c>
      <x:c r="L32" s="35" t="str">
        <x:v>8910338377</x:v>
      </x:c>
      <x:c r="M32" s="35" t="str">
        <x:v>sunetrabanik1999@gmail.com</x:v>
      </x:c>
      <x:c r="N32" s="46" t="n">
        <x:f>IF(F32="","",YEAR(TODAY())-YEAR(F32)-IF(DATE(YEAR(TODAY()),MONTH(F32),DAY(F32))&gt;TODAY(),1,0))</x:f>
        <x:v>26</x:v>
      </x:c>
      <x:c r="O32" s="35" t="str">
        <x:v>Present</x:v>
      </x:c>
      <x:c r="P32" s="36"/>
      <x:c r="Q32" s="35" t="str">
        <x:v>Non-Sensitive</x:v>
      </x:c>
      <x:c r="R32" s="55" t="str"/>
    </x:row>
    <x:row r="33" ht="25.5" customHeight="1">
      <x:c r="A33" s="43" t="n">
        <x:v>32</x:v>
      </x:c>
      <x:c r="B33" s="49" t="str">
        <x:v>T. SANKARA PRASAD</x:v>
      </x:c>
      <x:c r="C33" s="35" t="str">
        <x:v>SHA28081973JECI052003</x:v>
      </x:c>
      <x:c r="D33" s="35" t="str">
        <x:v>Asst.Engineer(Civil)-AECI</x:v>
      </x:c>
      <x:c r="E33" s="35" t="str">
        <x:v>Group B</x:v>
      </x:c>
      <x:c r="F33" s="36" t="n">
        <x:v>26904</x:v>
      </x:c>
      <x:c r="G33" s="36" t="n">
        <x:v>48822</x:v>
      </x:c>
      <x:c r="H33" s="35" t="str">
        <x:v>OBC</x:v>
      </x:c>
      <x:c r="I33" s="36" t="n">
        <x:v>37748</x:v>
      </x:c>
      <x:c r="J33" s="36" t="n">
        <x:v>44819</x:v>
      </x:c>
      <x:c r="K33" s="52" t="str">
        <x:v>HOUSE NO 4/1, !st Floor,15th Cross Road, Near by South End Circle ,Jayanagar 3 rd block, Bengaluru 560011.,BENGALURU,Karanataka ,560011</x:v>
      </x:c>
      <x:c r="L33" s="35" t="str">
        <x:v>9663853236</x:v>
      </x:c>
      <x:c r="M33" s="35" t="str">
        <x:v>prasadjecpwd@gmail.com</x:v>
      </x:c>
      <x:c r="N33" s="46" t="n">
        <x:f>IF(F33="","",YEAR(TODAY())-YEAR(F33)-IF(DATE(YEAR(TODAY()),MONTH(F33),DAY(F33))&gt;TODAY(),1,0))</x:f>
        <x:v>52</x:v>
      </x:c>
      <x:c r="O33" s="35" t="str">
        <x:v>Present</x:v>
      </x:c>
      <x:c r="P33" s="36"/>
      <x:c r="Q33" s="35" t="str">
        <x:v>Non-Sensitive</x:v>
      </x:c>
      <x:c r="R33" s="55" t="str"/>
    </x:row>
    <x:row r="34" ht="25.5" customHeight="1">
      <x:c r="A34" s="43" t="n">
        <x:v>33</x:v>
      </x:c>
      <x:c r="B34" s="49" t="str">
        <x:v>TEENA N V</x:v>
      </x:c>
      <x:c r="C34" s="35" t="str">
        <x:v>TNV11061989JECI042012</x:v>
      </x:c>
      <x:c r="D34" s="35" t="str">
        <x:v>Asst.Engineer(Civil)-AECI</x:v>
      </x:c>
      <x:c r="E34" s="35" t="str">
        <x:v>Group B</x:v>
      </x:c>
      <x:c r="F34" s="36" t="n">
        <x:v>32670</x:v>
      </x:c>
      <x:c r="G34" s="36" t="n">
        <x:v>54604</x:v>
      </x:c>
      <x:c r="H34" s="35" t="str">
        <x:v>OBC</x:v>
      </x:c>
      <x:c r="I34" s="36" t="n">
        <x:v>41025</x:v>
      </x:c>
      <x:c r="J34" s="36" t="n">
        <x:v>45875</x:v>
      </x:c>
      <x:c r="K34" s="52" t="str">
        <x:v>Door No. 821, 1st Floor, 2nd Main,HAL 3rd Stage, New Thippasandra,Karanataka,560075</x:v>
      </x:c>
      <x:c r="L34" s="35" t="str">
        <x:v>9497269813</x:v>
      </x:c>
      <x:c r="M34" s="35" t="str">
        <x:v>teena_nv@yahoo.com</x:v>
      </x:c>
      <x:c r="N34" s="46" t="n">
        <x:f>IF(F34="","",YEAR(TODAY())-YEAR(F34)-IF(DATE(YEAR(TODAY()),MONTH(F34),DAY(F34))&gt;TODAY(),1,0))</x:f>
        <x:v>37</x:v>
      </x:c>
      <x:c r="O34" s="35" t="str">
        <x:v>Present</x:v>
      </x:c>
      <x:c r="P34" s="36"/>
      <x:c r="Q34" s="35" t="str">
        <x:v>Non-Sensitive</x:v>
      </x:c>
      <x:c r="R34" s="55" t="str"/>
    </x:row>
    <x:row r="35" ht="25.5" customHeight="1">
      <x:c r="A35" s="43" t="n">
        <x:v>34</x:v>
      </x:c>
      <x:c r="B35" s="49" t="str">
        <x:v>UMA SHANKARA</x:v>
      </x:c>
      <x:c r="C35" s="35" t="str">
        <x:v>USH05071968PEON021996</x:v>
      </x:c>
      <x:c r="D35" s="35" t="str">
        <x:v>Multi Tasking Staff-MTST</x:v>
      </x:c>
      <x:c r="E35" s="35" t="str">
        <x:v>Group C</x:v>
      </x:c>
      <x:c r="F35" s="36" t="n">
        <x:v>25024</x:v>
      </x:c>
      <x:c r="G35" s="36" t="n">
        <x:v>46965</x:v>
      </x:c>
      <x:c r="H35" s="35" t="str">
        <x:v>OBC</x:v>
      </x:c>
      <x:c r="I35" s="36" t="n">
        <x:v>35118</x:v>
      </x:c>
      <x:c r="J35" s="36" t="n">
        <x:v>43787</x:v>
      </x:c>
      <x:c r="K35" s="52" t="str">
        <x:v>No. 8, Tpe II, EMQ CPWD Quarters, Koramangala,Bangalore,Karanataka ,560034</x:v>
      </x:c>
      <x:c r="L35" s="35" t="str">
        <x:v>9740739787</x:v>
      </x:c>
      <x:c r="M35" s="35" t="str">
        <x:v>umashankarn508@gmail.com</x:v>
      </x:c>
      <x:c r="N35" s="46" t="n">
        <x:f>IF(F35="","",YEAR(TODAY())-YEAR(F35)-IF(DATE(YEAR(TODAY()),MONTH(F35),DAY(F35))&gt;TODAY(),1,0))</x:f>
        <x:v>58</x:v>
      </x:c>
      <x:c r="O35" s="35" t="str">
        <x:v>Present</x:v>
      </x:c>
      <x:c r="P35" s="36"/>
      <x:c r="Q35" s="35" t="str">
        <x:v>Non-Sensitive</x:v>
      </x:c>
      <x:c r="R35" s="55" t="str"/>
    </x:row>
    <x:row r="36" ht="25.5" customHeight="1">
      <x:c r="A36" s="43" t="n">
        <x:v>35</x:v>
      </x:c>
      <x:c r="B36" s="49" t="str">
        <x:v>V. SYAM PRASAD</x:v>
      </x:c>
      <x:c r="C36" s="35" t="str">
        <x:v>VSP17051973STGD071997</x:v>
      </x:c>
      <x:c r="D36" s="35" t="str">
        <x:v>Principal Private Secretary-PPSE</x:v>
      </x:c>
      <x:c r="E36" s="35" t="str">
        <x:v>Group A</x:v>
      </x:c>
      <x:c r="F36" s="36" t="n">
        <x:v>26801</x:v>
      </x:c>
      <x:c r="G36" s="36" t="n">
        <x:v>48730</x:v>
      </x:c>
      <x:c r="H36" s="35" t="str">
        <x:v>OBC</x:v>
      </x:c>
      <x:c r="I36" s="36" t="n">
        <x:v>35641</x:v>
      </x:c>
      <x:c r="J36" s="36" t="n">
        <x:v>45985</x:v>
      </x:c>
      <x:c r="K36" s="52" t="str">
        <x:v>22/3, 3rd Cross, Behind Ganesh Temple, Madiwala,Bengaluru,Karnataka,560030</x:v>
      </x:c>
      <x:c r="L36" s="35" t="str">
        <x:v>9036022657</x:v>
      </x:c>
      <x:c r="M36" s="35" t="str">
        <x:v>v.syamprasad@gov.in</x:v>
      </x:c>
      <x:c r="N36" s="46" t="n">
        <x:f>IF(F36="","",YEAR(TODAY())-YEAR(F36)-IF(DATE(YEAR(TODAY()),MONTH(F36),DAY(F36))&gt;TODAY(),1,0))</x:f>
        <x:v>53</x:v>
      </x:c>
      <x:c r="O36" s="35" t="str">
        <x:v>Present</x:v>
      </x:c>
      <x:c r="P36" s="36"/>
      <x:c r="Q36" s="35" t="str">
        <x:v>Non-Sensitive</x:v>
      </x:c>
      <x:c r="R36" s="55" t="str"/>
    </x:row>
    <x:row r="37" ht="25.5" customHeight="1">
      <x:c r="A37" s="43" t="n">
        <x:v>36</x:v>
      </x:c>
      <x:c r="B37" s="49" t="str">
        <x:v>VENKATESH. Y LENKANNAVAR</x:v>
      </x:c>
      <x:c r="C37" s="35" t="str">
        <x:v>VLE12101975PEON032006</x:v>
      </x:c>
      <x:c r="D37" s="35" t="str">
        <x:v>Upper Division Clerk-UDCL</x:v>
      </x:c>
      <x:c r="E37" s="35" t="str">
        <x:v>Group C</x:v>
      </x:c>
      <x:c r="F37" s="36" t="n">
        <x:v>27679</x:v>
      </x:c>
      <x:c r="G37" s="36" t="n">
        <x:v>49613</x:v>
      </x:c>
      <x:c r="H37" s="35" t="str">
        <x:v>ST</x:v>
      </x:c>
      <x:c r="I37" s="36" t="n">
        <x:v>38793</x:v>
      </x:c>
      <x:c r="J37" s="36" t="n">
        <x:v>46147</x:v>
      </x:c>
      <x:c r="K37" s="52" t="str">
        <x:v>H.HO.341/5B, 1st Floor sounshi Building,U.C.B, Colony, Gopanakoppa.,HUBLI,Karanataka ,580030</x:v>
      </x:c>
      <x:c r="L37" s="35" t="str">
        <x:v>8050933685</x:v>
      </x:c>
      <x:c r="M37" s="35" t="str">
        <x:v>venkateshh1977@gmail.com</x:v>
      </x:c>
      <x:c r="N37" s="46" t="n">
        <x:f>IF(F37="","",YEAR(TODAY())-YEAR(F37)-IF(DATE(YEAR(TODAY()),MONTH(F37),DAY(F37))&gt;TODAY(),1,0))</x:f>
        <x:v>50</x:v>
      </x:c>
      <x:c r="O37" s="35" t="str">
        <x:v>Present</x:v>
      </x:c>
      <x:c r="P37" s="36"/>
      <x:c r="Q37" s="35" t="str">
        <x:v>Non-Sensitive</x:v>
      </x:c>
      <x:c r="R37" s="55" t="str"/>
    </x:row>
    <x:row r="38" ht="25.5" customHeight="1">
      <x:c r="A38" s="44" t="n">
        <x:v>37</x:v>
      </x:c>
      <x:c r="B38" s="50" t="str">
        <x:v>VINEESH K</x:v>
      </x:c>
      <x:c r="C38" s="39" t="str">
        <x:v>VIK05101993ASOF082021</x:v>
      </x:c>
      <x:c r="D38" s="39" t="str">
        <x:v>Assistant Section Officer-ASOF</x:v>
      </x:c>
      <x:c r="E38" s="39" t="str">
        <x:v>Group B</x:v>
      </x:c>
      <x:c r="F38" s="40" t="n">
        <x:v>34247</x:v>
      </x:c>
      <x:c r="G38" s="40" t="n">
        <x:v>56188</x:v>
      </x:c>
      <x:c r="H38" s="39" t="str">
        <x:v>OBC</x:v>
      </x:c>
      <x:c r="I38" s="40" t="n">
        <x:v>44419</x:v>
      </x:c>
      <x:c r="J38" s="40" t="n">
        <x:v>45162</x:v>
      </x:c>
      <x:c r="K38" s="53" t="str">
        <x:v>Qrter No 258, Block 18, CPWD Quarters, HSR Layout,Bangalore,Karanataka ,560102</x:v>
      </x:c>
      <x:c r="L38" s="39" t="str">
        <x:v>8089461325</x:v>
      </x:c>
      <x:c r="M38" s="39" t="str">
        <x:v>vineesh67@gmail.com</x:v>
      </x:c>
      <x:c r="N38" s="47" t="n">
        <x:f>IF(F38="","",YEAR(TODAY())-YEAR(F38)-IF(DATE(YEAR(TODAY()),MONTH(F38),DAY(F38))&gt;TODAY(),1,0))</x:f>
        <x:v>32</x:v>
      </x:c>
      <x:c r="O38" s="39" t="str">
        <x:v>Present</x:v>
      </x:c>
      <x:c r="P38" s="40"/>
      <x:c r="Q38" s="39" t="str">
        <x:v>Non-Sensitive</x:v>
      </x:c>
      <x:c r="R38" s="56" t="str"/>
    </x:row>
  </x:sheetData>
  <x:conditionalFormatting sqref="O2:O38">
    <x:cfRule type="containsText" dxfId="0" priority="1" operator="containsText" text="Present"/>
  </x:conditionalFormatting>
  <x:conditionalFormatting sqref="Q2:Q38">
    <x:cfRule type="containsText" dxfId="1" priority="2" operator="containsText" text="Sensitive"/>
    <x:cfRule type="containsText" dxfId="2" priority="3" operator="containsText" text="Non-Sensitive"/>
  </x:conditionalFormatting>
  <x:dataValidations count="2">
    <x:dataValidation type="list" sqref="O2:O38">
      <x:formula1>"Present,Relieved,Transferred,Retired"</x:formula1>
    </x:dataValidation>
    <x:dataValidation type="list" sqref="Q2:Q38">
      <x:formula1>"Sensitive,Non-Sensitive"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afeaed03ff4ac6"/>
  </x:tableParts>
</x:worksheet>
</file>